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рмация по проектам" sheetId="1" r:id="rId1"/>
    <sheet name="Линейная арматура" sheetId="2" r:id="rId2"/>
    <sheet name="Справочник" sheetId="3" r:id="rId3"/>
  </sheets>
  <definedNames>
    <definedName name="_xlnm._FilterDatabase" localSheetId="0" hidden="1">'Информация по проектам'!$A$1:$J$45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J3" i="3" l="1"/>
  <c r="J2" i="3"/>
</calcChain>
</file>

<file path=xl/sharedStrings.xml><?xml version="1.0" encoding="utf-8"?>
<sst xmlns="http://schemas.openxmlformats.org/spreadsheetml/2006/main" count="332" uniqueCount="217">
  <si>
    <t>Дата начала проекта</t>
  </si>
  <si>
    <t>Дата окончания</t>
  </si>
  <si>
    <t>Номер проекта</t>
  </si>
  <si>
    <t>Мощность</t>
  </si>
  <si>
    <t>Строительная длина</t>
  </si>
  <si>
    <t>Опоры использованы</t>
  </si>
  <si>
    <t>Примечания</t>
  </si>
  <si>
    <t>153-ЛЭ-2025</t>
  </si>
  <si>
    <t>158-ЛЭ-2025</t>
  </si>
  <si>
    <t>161-ЛЭ-2025</t>
  </si>
  <si>
    <t>165-ЛЭ-2025</t>
  </si>
  <si>
    <t>166-ЛЭ-2025</t>
  </si>
  <si>
    <t>168-ЛЭ-2025</t>
  </si>
  <si>
    <t>173-ЛЭ-2025</t>
  </si>
  <si>
    <t>174-ЛЭ-2025</t>
  </si>
  <si>
    <t>П23 А23</t>
  </si>
  <si>
    <t>П23 К21 УА23*</t>
  </si>
  <si>
    <t>УП23 А23 УА23*</t>
  </si>
  <si>
    <t>П23 А23 УА23*</t>
  </si>
  <si>
    <t>К21 УА21 УА23*</t>
  </si>
  <si>
    <t>Фаза</t>
  </si>
  <si>
    <t>175-ЛЭ-2025</t>
  </si>
  <si>
    <t>П23 К21 УА21 УА23*</t>
  </si>
  <si>
    <t>Замена старого провода на новый с голого на СИП. С заменой ответвлений на потребителей.</t>
  </si>
  <si>
    <t>Опиловка.</t>
  </si>
  <si>
    <t>182-ЛЭ-2025</t>
  </si>
  <si>
    <t>Использованные провода</t>
  </si>
  <si>
    <t>СИП2 3х70+1х70</t>
  </si>
  <si>
    <t>СИП2 3х50+1х50</t>
  </si>
  <si>
    <t>СИП2 3х35+1х35</t>
  </si>
  <si>
    <t>Замена старого провода СИП на новый большего сечения. Плохо сделано, много ошибок постфакту увидел.</t>
  </si>
  <si>
    <t>П23 П23доп АО23 К21</t>
  </si>
  <si>
    <t xml:space="preserve">Опиловка, замена старого провода А-50 на новый большего сечения, реконструкция с заменой деревянных опор. </t>
  </si>
  <si>
    <t>185-ЛЭ-2025</t>
  </si>
  <si>
    <t>СИП2 3х50+1х50 СИП2 3х35+1х35</t>
  </si>
  <si>
    <t xml:space="preserve">Реконструкция с заменой деревянных опор и старого провода </t>
  </si>
  <si>
    <t>190-ЛЭ-2025</t>
  </si>
  <si>
    <t>191-ЛЭ-2025</t>
  </si>
  <si>
    <t>Из-за маленького провода заменен зажим РА1500 на РА1000</t>
  </si>
  <si>
    <t>196-ЛЭ-2025</t>
  </si>
  <si>
    <t>199-ЛЭ-2025</t>
  </si>
  <si>
    <t>П23 К21</t>
  </si>
  <si>
    <t>201-ЛЭ-2025</t>
  </si>
  <si>
    <t>СИП2 3х35+1х35 АВББШП-1 4х50</t>
  </si>
  <si>
    <t>-</t>
  </si>
  <si>
    <t>Кабельная линия</t>
  </si>
  <si>
    <t>205-ЛЭ-2025</t>
  </si>
  <si>
    <t>206-ЛЭ-2025</t>
  </si>
  <si>
    <t>209-ЛЭ-2025</t>
  </si>
  <si>
    <t>СНТ дачный как и в 206</t>
  </si>
  <si>
    <t>211-ЛЭ-2025</t>
  </si>
  <si>
    <t>СИП2 3х70+1х70 СИП2 3х35+1х35</t>
  </si>
  <si>
    <t>Дополнительный коммутационный аппарат. Дополнительная линия по существующим опорам.</t>
  </si>
  <si>
    <t>212-ЛЭ-2025</t>
  </si>
  <si>
    <t>223-ЛЭ-2025</t>
  </si>
  <si>
    <t>Реконструкция с заменой опор, провода и ответвлений</t>
  </si>
  <si>
    <t>227-ЛЭ-2025</t>
  </si>
  <si>
    <t>Проект сделан по схеме визио. Была добавлена арматура для деревянных опор.</t>
  </si>
  <si>
    <t xml:space="preserve">Переоборудование опоры в сложную </t>
  </si>
  <si>
    <t>Масса арматуры</t>
  </si>
  <si>
    <t>П23</t>
  </si>
  <si>
    <t>П23доп</t>
  </si>
  <si>
    <t>УП21</t>
  </si>
  <si>
    <t>А23</t>
  </si>
  <si>
    <t>АО23</t>
  </si>
  <si>
    <t>К21 (К21-к)</t>
  </si>
  <si>
    <t>УА21</t>
  </si>
  <si>
    <t>УА23*</t>
  </si>
  <si>
    <t>Количество стоек на опору</t>
  </si>
  <si>
    <t>Заглубление в грунт</t>
  </si>
  <si>
    <t>Высота подвеса провода</t>
  </si>
  <si>
    <t>К21</t>
  </si>
  <si>
    <t>№ чертежа</t>
  </si>
  <si>
    <t>25.0017-02</t>
  </si>
  <si>
    <t>25.0017-06</t>
  </si>
  <si>
    <t>25.0017-08</t>
  </si>
  <si>
    <t>25.0017-16</t>
  </si>
  <si>
    <t>21.0112-04</t>
  </si>
  <si>
    <t>21.0112-08</t>
  </si>
  <si>
    <t>21.0112-09</t>
  </si>
  <si>
    <t>Масса стойки</t>
  </si>
  <si>
    <t>Бетон</t>
  </si>
  <si>
    <t>CB95-3</t>
  </si>
  <si>
    <t>CB110-5</t>
  </si>
  <si>
    <t>ЗП6</t>
  </si>
  <si>
    <t>У4</t>
  </si>
  <si>
    <t>Х89</t>
  </si>
  <si>
    <t>F207</t>
  </si>
  <si>
    <t>NC20</t>
  </si>
  <si>
    <t>СТОЛЬКО ЖЕ КАК И F207</t>
  </si>
  <si>
    <t>ES1500E</t>
  </si>
  <si>
    <t>CS10.3</t>
  </si>
  <si>
    <t>PA1000</t>
  </si>
  <si>
    <t>СТОЛЬКО ЖЕ КАК И CS10.3 НА ПРОВОД 35 КВ ММ</t>
  </si>
  <si>
    <t>PA1500</t>
  </si>
  <si>
    <t>СТОЛЬКО ЖЕ КАК И CS10.3 НА ПРОВОД 50 И 70 КВ ММ</t>
  </si>
  <si>
    <t>P95</t>
  </si>
  <si>
    <t>4 ШТУКИ НА ОТВЕТВЛЕНИЕ ОТ ЛИНИИ ВЫСОКОГО НАПРЯЖЕНИЯ</t>
  </si>
  <si>
    <t>P645</t>
  </si>
  <si>
    <t>4 ШТУКИ ПРИ ТРЕХ ФАЗАХ И 2 ПРИ ОДНОЙ ПРИ ОТВЕТВЛЕНИИ К ПОТРЕБИТЕЛЯМ</t>
  </si>
  <si>
    <t>P72</t>
  </si>
  <si>
    <t>1 НА КАЖДУЮ ОПОРУ (ИСКЛЮЧАЯ ПОСТРОЕНУЮ)</t>
  </si>
  <si>
    <t>CD35</t>
  </si>
  <si>
    <t>E778</t>
  </si>
  <si>
    <t>1 НА КАЖДОЕ ОТВЕТВЛЕНИЕ У ОПОРЫ</t>
  </si>
  <si>
    <t>α</t>
  </si>
  <si>
    <t>На узел в любом градусе</t>
  </si>
  <si>
    <t>+2 на счетчик, +2 на переносной заземлитель, +2 на построенную опору</t>
  </si>
  <si>
    <t>Климатические условия</t>
  </si>
  <si>
    <t>Для подсчета</t>
  </si>
  <si>
    <t>Гололед</t>
  </si>
  <si>
    <t>Стенка в мм</t>
  </si>
  <si>
    <t>Район по ветру</t>
  </si>
  <si>
    <t>Ветровое давление</t>
  </si>
  <si>
    <t>Скорость ветра</t>
  </si>
  <si>
    <t>Охранная зона</t>
  </si>
  <si>
    <t>I</t>
  </si>
  <si>
    <t>Га опиловки</t>
  </si>
  <si>
    <t>II</t>
  </si>
  <si>
    <t>III</t>
  </si>
  <si>
    <t>IV</t>
  </si>
  <si>
    <t>V</t>
  </si>
  <si>
    <t>Счетчики</t>
  </si>
  <si>
    <t>P, кВт</t>
  </si>
  <si>
    <t>Ф</t>
  </si>
  <si>
    <t>ПУ</t>
  </si>
  <si>
    <t>ТП</t>
  </si>
  <si>
    <t>5А</t>
  </si>
  <si>
    <t>8А</t>
  </si>
  <si>
    <t>16А</t>
  </si>
  <si>
    <t>25А</t>
  </si>
  <si>
    <t>32А</t>
  </si>
  <si>
    <t>40А</t>
  </si>
  <si>
    <t>50А</t>
  </si>
  <si>
    <t>Проводы</t>
  </si>
  <si>
    <t>Марка</t>
  </si>
  <si>
    <t>Сечение</t>
  </si>
  <si>
    <t>Вес</t>
  </si>
  <si>
    <t>Допустимый ток</t>
  </si>
  <si>
    <t>Диаметр, мм</t>
  </si>
  <si>
    <t>СИП2</t>
  </si>
  <si>
    <t>3х95+1х95</t>
  </si>
  <si>
    <t>АВБбШв</t>
  </si>
  <si>
    <t>4х240</t>
  </si>
  <si>
    <t>337А</t>
  </si>
  <si>
    <t>3х70+1х70</t>
  </si>
  <si>
    <t>4х185</t>
  </si>
  <si>
    <t>290А</t>
  </si>
  <si>
    <t>3х50+1х50</t>
  </si>
  <si>
    <t>4х150</t>
  </si>
  <si>
    <t>254А</t>
  </si>
  <si>
    <t>3х35+1х35</t>
  </si>
  <si>
    <t>4х120</t>
  </si>
  <si>
    <t>226А</t>
  </si>
  <si>
    <t>3х25+1х25</t>
  </si>
  <si>
    <t>4х95</t>
  </si>
  <si>
    <t>199А</t>
  </si>
  <si>
    <t>СИП3</t>
  </si>
  <si>
    <t>1х95</t>
  </si>
  <si>
    <t>4х70</t>
  </si>
  <si>
    <t>165А</t>
  </si>
  <si>
    <t>1х70</t>
  </si>
  <si>
    <t>4х50</t>
  </si>
  <si>
    <t>132А</t>
  </si>
  <si>
    <t>СИП4</t>
  </si>
  <si>
    <t>4х16</t>
  </si>
  <si>
    <t>4х35</t>
  </si>
  <si>
    <t>114А</t>
  </si>
  <si>
    <t>2х25</t>
  </si>
  <si>
    <t>4х25</t>
  </si>
  <si>
    <t>94А</t>
  </si>
  <si>
    <t>2х16</t>
  </si>
  <si>
    <t>71А</t>
  </si>
  <si>
    <t>4х10</t>
  </si>
  <si>
    <t>54А</t>
  </si>
  <si>
    <t>228-ЛЭ-2025</t>
  </si>
  <si>
    <t>229-ЛЭ-2025</t>
  </si>
  <si>
    <t>230-ЛЭ-2025</t>
  </si>
  <si>
    <t>231-ЛЭ-2025</t>
  </si>
  <si>
    <t>П23 А23 УА21</t>
  </si>
  <si>
    <t>233-ЛЭ-2025</t>
  </si>
  <si>
    <t>234-ЛЭ-2025</t>
  </si>
  <si>
    <t>236-ЛЭ-2025</t>
  </si>
  <si>
    <t>10А</t>
  </si>
  <si>
    <t>Сам посчитал выключатель</t>
  </si>
  <si>
    <t>237-ЛЭ-2025</t>
  </si>
  <si>
    <t>А23 К21</t>
  </si>
  <si>
    <t>По существующим опорам, замена старых опор на анкерные, точка подключения в КТП без доп автомата и разъеденителя</t>
  </si>
  <si>
    <t>238-ЛЭ-2025</t>
  </si>
  <si>
    <t>239-ЛЭ-2025</t>
  </si>
  <si>
    <t>240-ЛЭ-2025</t>
  </si>
  <si>
    <t>Опиловка</t>
  </si>
  <si>
    <t>241-ЛЭ-2025</t>
  </si>
  <si>
    <t>Выноска для проетируемой линии по другому ТУ</t>
  </si>
  <si>
    <t>242-ЛЭ-2025</t>
  </si>
  <si>
    <t>Самая маленькая линия эвер</t>
  </si>
  <si>
    <t xml:space="preserve"> </t>
  </si>
  <si>
    <t>243-ЛЭ-2025</t>
  </si>
  <si>
    <t>Проект сделан без плана</t>
  </si>
  <si>
    <t>244-ЛЭ-2025</t>
  </si>
  <si>
    <t>П23 А23 УА21 УА23*</t>
  </si>
  <si>
    <t>Замена провода, строительство опоры между существующими</t>
  </si>
  <si>
    <t>245-ЛЭ-2025</t>
  </si>
  <si>
    <t>Для замененных опор нужно брать заземлитель ЗП6, а также кронштейн и натяжной зажим</t>
  </si>
  <si>
    <t>От спроектированной опоры</t>
  </si>
  <si>
    <t>247-ЛЭ-2025</t>
  </si>
  <si>
    <t>252-ЛЭ-2025</t>
  </si>
  <si>
    <t>Точка подключения РУ, есть линии спроектированные по другому ТУ</t>
  </si>
  <si>
    <t>278-ЛЭ-2025</t>
  </si>
  <si>
    <t>ТФ20</t>
  </si>
  <si>
    <t>К-5</t>
  </si>
  <si>
    <t>ПА-2-2</t>
  </si>
  <si>
    <t>ПС-1-1</t>
  </si>
  <si>
    <t xml:space="preserve">Проект сделан по схеме визио. Есть изоляторы. Провес фазного провода по существующим опорам. Длина при этом интересно посчитана (длина умножалась на количество жил). Замена одной опоры. </t>
  </si>
  <si>
    <t>279-ЛЭ-2025</t>
  </si>
  <si>
    <t>СИП2 3х95+1х70</t>
  </si>
  <si>
    <t>256-ЛЭ-2025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</si>
</sst>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zoomScaleNormal="100" workbookViewId="0">
      <selection activeCell="C11" sqref="C11"/>
    </sheetView>
  </sheetViews>
  <sheetFormatPr defaultRowHeight="15" x14ac:dyDescent="0.25"/>
  <cols>
    <col min="1" max="1" width="24.7109375" style="1" bestFit="1" customWidth="1"/>
    <col min="2" max="2" width="20.140625" style="1" bestFit="1" customWidth="1"/>
    <col min="3" max="3" width="19.7109375" style="1" bestFit="1" customWidth="1"/>
    <col min="4" max="4" width="15" style="1" bestFit="1" customWidth="1"/>
    <col min="5" max="5" width="9.85546875" style="1" bestFit="1" customWidth="1"/>
    <col min="6" max="6" width="24.5703125" style="1" bestFit="1" customWidth="1"/>
    <col min="7" max="7" width="21.28515625" style="1" bestFit="1" customWidth="1"/>
    <col min="8" max="8" width="25.5703125" style="1" bestFit="1" customWidth="1"/>
    <col min="9" max="9" width="50" style="1" bestFit="1" customWidth="1"/>
    <col min="10" max="10" width="45.7109375" style="1" bestFit="1" customWidth="1"/>
    <col min="11" max="16384" width="9.140625" style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26</v>
      </c>
      <c r="H1" s="1" t="s">
        <v>5</v>
      </c>
      <c r="I1" s="1" t="s">
        <v>6</v>
      </c>
    </row>
    <row r="2" spans="1:9" x14ac:dyDescent="0.25">
      <c r="A2" s="2">
        <v>45798</v>
      </c>
      <c r="B2" s="2">
        <v>45811</v>
      </c>
      <c r="C2" s="1" t="s">
        <v>7</v>
      </c>
      <c r="D2" s="1">
        <v>9</v>
      </c>
      <c r="E2" s="1">
        <v>3</v>
      </c>
      <c r="F2" s="1">
        <v>0.2</v>
      </c>
      <c r="G2" s="1" t="s">
        <v>27</v>
      </c>
      <c r="H2" s="1" t="s">
        <v>15</v>
      </c>
    </row>
    <row r="3" spans="1:9" x14ac:dyDescent="0.25">
      <c r="A3" s="2">
        <v>45798</v>
      </c>
      <c r="B3" s="2">
        <v>45811</v>
      </c>
      <c r="C3" s="1" t="s">
        <v>8</v>
      </c>
      <c r="D3" s="1">
        <v>6.7</v>
      </c>
      <c r="E3" s="1">
        <v>1</v>
      </c>
      <c r="F3" s="1">
        <v>0.188</v>
      </c>
      <c r="G3" s="1" t="s">
        <v>27</v>
      </c>
      <c r="H3" s="1" t="s">
        <v>16</v>
      </c>
    </row>
    <row r="4" spans="1:9" x14ac:dyDescent="0.25">
      <c r="A4" s="2">
        <v>45798</v>
      </c>
      <c r="B4" s="2">
        <v>45811</v>
      </c>
      <c r="C4" s="1" t="s">
        <v>9</v>
      </c>
      <c r="D4" s="1">
        <v>15</v>
      </c>
      <c r="E4" s="1">
        <v>3</v>
      </c>
      <c r="F4" s="1">
        <v>0.29799999999999999</v>
      </c>
      <c r="G4" s="1" t="s">
        <v>28</v>
      </c>
      <c r="H4" s="1" t="s">
        <v>17</v>
      </c>
      <c r="I4" s="1" t="s">
        <v>24</v>
      </c>
    </row>
    <row r="5" spans="1:9" x14ac:dyDescent="0.25">
      <c r="A5" s="2">
        <v>45798</v>
      </c>
      <c r="B5" s="2">
        <v>45811</v>
      </c>
      <c r="C5" s="1" t="s">
        <v>10</v>
      </c>
      <c r="D5" s="1">
        <v>15</v>
      </c>
      <c r="E5" s="1">
        <v>3</v>
      </c>
      <c r="F5" s="1">
        <v>9.4E-2</v>
      </c>
      <c r="G5" s="1" t="s">
        <v>29</v>
      </c>
      <c r="H5" s="1" t="s">
        <v>18</v>
      </c>
    </row>
    <row r="6" spans="1:9" x14ac:dyDescent="0.25">
      <c r="A6" s="2">
        <v>45798</v>
      </c>
      <c r="B6" s="2">
        <v>45811</v>
      </c>
      <c r="C6" s="1" t="s">
        <v>11</v>
      </c>
      <c r="D6" s="1">
        <v>6.7</v>
      </c>
      <c r="E6" s="1">
        <v>1</v>
      </c>
      <c r="F6" s="1">
        <v>0.17599999999999999</v>
      </c>
      <c r="G6" s="1" t="s">
        <v>29</v>
      </c>
      <c r="H6" s="1" t="s">
        <v>15</v>
      </c>
    </row>
    <row r="7" spans="1:9" x14ac:dyDescent="0.25">
      <c r="A7" s="2">
        <v>45798</v>
      </c>
      <c r="B7" s="2">
        <v>45811</v>
      </c>
      <c r="C7" s="1" t="s">
        <v>12</v>
      </c>
      <c r="D7" s="1">
        <v>15</v>
      </c>
      <c r="E7" s="1">
        <v>3</v>
      </c>
      <c r="F7" s="1">
        <v>0.16</v>
      </c>
      <c r="G7" s="1" t="s">
        <v>28</v>
      </c>
      <c r="H7" s="1" t="s">
        <v>19</v>
      </c>
    </row>
    <row r="8" spans="1:9" x14ac:dyDescent="0.25">
      <c r="A8" s="2">
        <v>45798</v>
      </c>
      <c r="B8" s="2">
        <v>45811</v>
      </c>
      <c r="C8" s="1" t="s">
        <v>13</v>
      </c>
      <c r="D8" s="1">
        <v>15</v>
      </c>
      <c r="E8" s="1">
        <v>3</v>
      </c>
      <c r="F8" s="1">
        <v>0.189</v>
      </c>
      <c r="G8" s="1" t="s">
        <v>28</v>
      </c>
      <c r="H8" s="1" t="s">
        <v>15</v>
      </c>
    </row>
    <row r="9" spans="1:9" ht="45" x14ac:dyDescent="0.25">
      <c r="A9" s="2">
        <v>45811</v>
      </c>
      <c r="B9" s="2">
        <v>45812</v>
      </c>
      <c r="C9" s="1" t="s">
        <v>14</v>
      </c>
      <c r="D9" s="1">
        <v>15</v>
      </c>
      <c r="E9" s="1">
        <v>3</v>
      </c>
      <c r="F9" s="1">
        <v>0.2</v>
      </c>
      <c r="G9" s="1" t="s">
        <v>28</v>
      </c>
      <c r="H9" s="1" t="s">
        <v>16</v>
      </c>
      <c r="I9" s="1" t="s">
        <v>30</v>
      </c>
    </row>
    <row r="10" spans="1:9" ht="30" x14ac:dyDescent="0.25">
      <c r="A10" s="2">
        <v>45812</v>
      </c>
      <c r="B10" s="2">
        <v>45813</v>
      </c>
      <c r="C10" s="1" t="s">
        <v>21</v>
      </c>
      <c r="D10" s="1">
        <v>15</v>
      </c>
      <c r="E10" s="1">
        <v>3</v>
      </c>
      <c r="F10" s="1">
        <v>0.60299999999999998</v>
      </c>
      <c r="G10" s="1" t="s">
        <v>28</v>
      </c>
      <c r="H10" s="1" t="s">
        <v>22</v>
      </c>
      <c r="I10" s="1" t="s">
        <v>23</v>
      </c>
    </row>
    <row r="11" spans="1:9" ht="45" x14ac:dyDescent="0.25">
      <c r="A11" s="2">
        <v>45813</v>
      </c>
      <c r="B11" s="2">
        <v>45818</v>
      </c>
      <c r="C11" s="1" t="s">
        <v>25</v>
      </c>
      <c r="D11" s="1">
        <v>15</v>
      </c>
      <c r="E11" s="1">
        <v>3</v>
      </c>
      <c r="F11" s="1">
        <v>0.311</v>
      </c>
      <c r="G11" s="1" t="s">
        <v>34</v>
      </c>
      <c r="H11" s="1" t="s">
        <v>31</v>
      </c>
      <c r="I11" s="1" t="s">
        <v>32</v>
      </c>
    </row>
    <row r="12" spans="1:9" ht="30" x14ac:dyDescent="0.25">
      <c r="A12" s="2">
        <v>45818</v>
      </c>
      <c r="B12" s="2">
        <v>45819</v>
      </c>
      <c r="C12" s="1" t="s">
        <v>33</v>
      </c>
      <c r="D12" s="1">
        <v>15</v>
      </c>
      <c r="E12" s="1">
        <v>3</v>
      </c>
      <c r="F12" s="1">
        <v>0.41799999999999998</v>
      </c>
      <c r="G12" s="1" t="s">
        <v>27</v>
      </c>
      <c r="H12" s="1" t="s">
        <v>22</v>
      </c>
      <c r="I12" s="1" t="s">
        <v>35</v>
      </c>
    </row>
    <row r="13" spans="1:9" ht="30" x14ac:dyDescent="0.25">
      <c r="A13" s="2">
        <v>45819</v>
      </c>
      <c r="B13" s="2">
        <v>45824</v>
      </c>
      <c r="C13" s="1" t="s">
        <v>36</v>
      </c>
      <c r="D13" s="1">
        <v>6</v>
      </c>
      <c r="E13" s="1">
        <v>1</v>
      </c>
      <c r="F13" s="1">
        <v>0.20899999999999999</v>
      </c>
      <c r="G13" s="1" t="s">
        <v>29</v>
      </c>
      <c r="H13" s="1" t="s">
        <v>15</v>
      </c>
      <c r="I13" s="1" t="s">
        <v>38</v>
      </c>
    </row>
    <row r="14" spans="1:9" ht="30" x14ac:dyDescent="0.25">
      <c r="A14" s="2">
        <v>45824</v>
      </c>
      <c r="B14" s="2">
        <v>45825</v>
      </c>
      <c r="C14" s="1" t="s">
        <v>37</v>
      </c>
      <c r="D14" s="1">
        <v>15</v>
      </c>
      <c r="E14" s="1">
        <v>3</v>
      </c>
      <c r="F14" s="1">
        <v>0.47699999999999998</v>
      </c>
      <c r="G14" s="1" t="s">
        <v>28</v>
      </c>
      <c r="H14" s="1" t="s">
        <v>15</v>
      </c>
      <c r="I14" s="1" t="s">
        <v>57</v>
      </c>
    </row>
    <row r="15" spans="1:9" x14ac:dyDescent="0.25">
      <c r="A15" s="2">
        <v>45825</v>
      </c>
      <c r="B15" s="2">
        <v>45826</v>
      </c>
      <c r="C15" s="1" t="s">
        <v>39</v>
      </c>
      <c r="D15" s="1">
        <v>5</v>
      </c>
      <c r="E15" s="1">
        <v>1</v>
      </c>
      <c r="F15" s="1">
        <v>0.26800000000000002</v>
      </c>
      <c r="G15" s="1" t="s">
        <v>28</v>
      </c>
      <c r="H15" s="1" t="s">
        <v>22</v>
      </c>
    </row>
    <row r="16" spans="1:9" x14ac:dyDescent="0.25">
      <c r="A16" s="2">
        <v>45826</v>
      </c>
      <c r="B16" s="2">
        <v>45827</v>
      </c>
      <c r="C16" s="1" t="s">
        <v>40</v>
      </c>
      <c r="D16" s="1">
        <v>6.7</v>
      </c>
      <c r="E16" s="1">
        <v>1</v>
      </c>
      <c r="F16" s="1">
        <v>0.184</v>
      </c>
      <c r="G16" s="1" t="s">
        <v>27</v>
      </c>
      <c r="H16" s="1" t="s">
        <v>41</v>
      </c>
    </row>
    <row r="17" spans="1:10" ht="30" x14ac:dyDescent="0.25">
      <c r="A17" s="2">
        <v>45827</v>
      </c>
      <c r="B17" s="2">
        <v>45828</v>
      </c>
      <c r="C17" s="1" t="s">
        <v>42</v>
      </c>
      <c r="D17" s="1">
        <v>15</v>
      </c>
      <c r="E17" s="1">
        <v>3</v>
      </c>
      <c r="F17" s="1">
        <v>0.155</v>
      </c>
      <c r="G17" s="1" t="s">
        <v>43</v>
      </c>
      <c r="H17" s="1" t="s">
        <v>44</v>
      </c>
      <c r="I17" s="1" t="s">
        <v>45</v>
      </c>
    </row>
    <row r="18" spans="1:10" x14ac:dyDescent="0.25">
      <c r="A18" s="2">
        <v>45828</v>
      </c>
      <c r="B18" s="2">
        <v>45828</v>
      </c>
      <c r="C18" s="1" t="s">
        <v>46</v>
      </c>
      <c r="D18" s="1">
        <v>15</v>
      </c>
      <c r="E18" s="1">
        <v>3</v>
      </c>
      <c r="F18" s="1">
        <v>0.224</v>
      </c>
      <c r="G18" s="1" t="s">
        <v>29</v>
      </c>
      <c r="H18" s="1" t="s">
        <v>22</v>
      </c>
    </row>
    <row r="19" spans="1:10" x14ac:dyDescent="0.25">
      <c r="A19" s="2">
        <v>45828</v>
      </c>
      <c r="B19" s="2">
        <v>45834</v>
      </c>
      <c r="C19" s="1" t="s">
        <v>47</v>
      </c>
      <c r="D19" s="1">
        <v>6</v>
      </c>
      <c r="E19" s="1">
        <v>3</v>
      </c>
      <c r="F19" s="1">
        <v>0.23799999999999999</v>
      </c>
      <c r="G19" s="1" t="s">
        <v>27</v>
      </c>
      <c r="H19" s="1" t="s">
        <v>41</v>
      </c>
    </row>
    <row r="20" spans="1:10" x14ac:dyDescent="0.25">
      <c r="A20" s="2">
        <v>45834</v>
      </c>
      <c r="B20" s="2">
        <v>45834</v>
      </c>
      <c r="C20" s="1" t="s">
        <v>48</v>
      </c>
      <c r="D20" s="1">
        <v>12.5</v>
      </c>
      <c r="E20" s="1">
        <v>3</v>
      </c>
      <c r="F20" s="1">
        <v>0.54600000000000004</v>
      </c>
      <c r="G20" s="1" t="s">
        <v>28</v>
      </c>
      <c r="H20" s="1" t="s">
        <v>41</v>
      </c>
      <c r="I20" s="1" t="s">
        <v>49</v>
      </c>
    </row>
    <row r="21" spans="1:10" ht="30" x14ac:dyDescent="0.25">
      <c r="A21" s="2">
        <v>45834</v>
      </c>
      <c r="B21" s="2">
        <v>45835</v>
      </c>
      <c r="C21" s="1" t="s">
        <v>50</v>
      </c>
      <c r="D21" s="1">
        <v>5</v>
      </c>
      <c r="E21" s="1">
        <v>1</v>
      </c>
      <c r="F21" s="1">
        <v>0.48799999999999999</v>
      </c>
      <c r="G21" s="1" t="s">
        <v>51</v>
      </c>
      <c r="H21" s="1" t="s">
        <v>22</v>
      </c>
      <c r="I21" s="1" t="s">
        <v>52</v>
      </c>
    </row>
    <row r="22" spans="1:10" x14ac:dyDescent="0.25">
      <c r="A22" s="2">
        <v>45835</v>
      </c>
      <c r="B22" s="2">
        <v>45835</v>
      </c>
      <c r="C22" s="1" t="s">
        <v>53</v>
      </c>
      <c r="D22" s="1">
        <v>6.7</v>
      </c>
      <c r="E22" s="1">
        <v>1</v>
      </c>
      <c r="F22" s="1">
        <v>0.33500000000000002</v>
      </c>
      <c r="G22" s="1" t="s">
        <v>27</v>
      </c>
      <c r="H22" s="1" t="s">
        <v>41</v>
      </c>
    </row>
    <row r="23" spans="1:10" ht="30" x14ac:dyDescent="0.25">
      <c r="A23" s="2">
        <v>45842</v>
      </c>
      <c r="B23" s="2">
        <v>45846</v>
      </c>
      <c r="C23" s="1" t="s">
        <v>54</v>
      </c>
      <c r="D23" s="1">
        <v>15</v>
      </c>
      <c r="E23" s="1">
        <v>3</v>
      </c>
      <c r="F23" s="1">
        <v>0.183</v>
      </c>
      <c r="G23" s="1" t="s">
        <v>29</v>
      </c>
      <c r="H23" s="1" t="s">
        <v>41</v>
      </c>
      <c r="I23" s="1" t="s">
        <v>55</v>
      </c>
    </row>
    <row r="24" spans="1:10" x14ac:dyDescent="0.25">
      <c r="A24" s="2">
        <v>45846</v>
      </c>
      <c r="B24" s="2">
        <v>45846</v>
      </c>
      <c r="C24" s="1" t="s">
        <v>56</v>
      </c>
      <c r="D24" s="1">
        <v>6.7</v>
      </c>
      <c r="E24" s="1">
        <v>1</v>
      </c>
      <c r="F24" s="1">
        <v>0.222</v>
      </c>
      <c r="G24" s="1" t="s">
        <v>28</v>
      </c>
      <c r="H24" s="1" t="s">
        <v>16</v>
      </c>
      <c r="I24" s="1" t="s">
        <v>58</v>
      </c>
    </row>
    <row r="25" spans="1:10" x14ac:dyDescent="0.25">
      <c r="A25" s="2">
        <v>45846</v>
      </c>
      <c r="B25" s="2">
        <v>45847</v>
      </c>
      <c r="C25" s="1" t="s">
        <v>175</v>
      </c>
      <c r="D25" s="1">
        <v>15</v>
      </c>
      <c r="E25" s="1">
        <v>3</v>
      </c>
      <c r="F25" s="1">
        <v>0.55400000000000005</v>
      </c>
      <c r="G25" s="1" t="s">
        <v>28</v>
      </c>
      <c r="H25" s="6" t="s">
        <v>22</v>
      </c>
    </row>
    <row r="26" spans="1:10" x14ac:dyDescent="0.25">
      <c r="A26" s="2">
        <v>45847</v>
      </c>
      <c r="B26" s="2">
        <v>45847</v>
      </c>
      <c r="C26" s="1" t="s">
        <v>176</v>
      </c>
      <c r="D26" s="1">
        <v>15</v>
      </c>
      <c r="E26" s="1">
        <v>3</v>
      </c>
      <c r="F26" s="1">
        <v>0.23</v>
      </c>
      <c r="G26" s="6" t="s">
        <v>27</v>
      </c>
      <c r="H26" s="9" t="s">
        <v>16</v>
      </c>
    </row>
    <row r="27" spans="1:10" x14ac:dyDescent="0.25">
      <c r="A27" s="2">
        <v>45847</v>
      </c>
      <c r="B27" s="2">
        <v>45874</v>
      </c>
      <c r="C27" s="30" t="s">
        <v>177</v>
      </c>
      <c r="D27" s="1">
        <v>3</v>
      </c>
      <c r="E27" s="1">
        <v>3</v>
      </c>
      <c r="F27" s="1">
        <v>0.11600000000000001</v>
      </c>
      <c r="G27" s="10" t="s">
        <v>28</v>
      </c>
      <c r="H27" s="1" t="s">
        <v>41</v>
      </c>
    </row>
    <row r="28" spans="1:10" x14ac:dyDescent="0.25">
      <c r="A28" s="2">
        <v>45853</v>
      </c>
      <c r="B28" s="2">
        <v>45854</v>
      </c>
      <c r="C28" s="1" t="s">
        <v>178</v>
      </c>
      <c r="D28" s="1">
        <v>15</v>
      </c>
      <c r="E28" s="1">
        <v>3</v>
      </c>
      <c r="F28" s="1">
        <v>0.187</v>
      </c>
      <c r="G28" s="11" t="s">
        <v>27</v>
      </c>
      <c r="H28" s="12" t="s">
        <v>179</v>
      </c>
    </row>
    <row r="29" spans="1:10" x14ac:dyDescent="0.25">
      <c r="A29" s="2">
        <v>45854</v>
      </c>
      <c r="B29" s="2">
        <v>45854</v>
      </c>
      <c r="C29" s="1" t="s">
        <v>180</v>
      </c>
      <c r="D29" s="1">
        <v>6.7</v>
      </c>
      <c r="E29" s="1">
        <v>1</v>
      </c>
      <c r="F29" s="1">
        <v>0.14899999999999999</v>
      </c>
      <c r="G29" s="12" t="s">
        <v>27</v>
      </c>
      <c r="H29" s="13" t="s">
        <v>41</v>
      </c>
    </row>
    <row r="30" spans="1:10" x14ac:dyDescent="0.25">
      <c r="A30" s="2">
        <v>45854</v>
      </c>
      <c r="B30" s="2">
        <v>45859</v>
      </c>
      <c r="C30" s="1" t="s">
        <v>181</v>
      </c>
      <c r="D30" s="1">
        <v>15</v>
      </c>
      <c r="E30" s="1">
        <v>3</v>
      </c>
      <c r="F30" s="1">
        <v>0.34300000000000003</v>
      </c>
      <c r="G30" s="14" t="s">
        <v>28</v>
      </c>
      <c r="H30" s="14" t="s">
        <v>15</v>
      </c>
      <c r="I30" s="1" t="str">
        <f>"=)"</f>
        <v>=)</v>
      </c>
    </row>
    <row r="31" spans="1:10" x14ac:dyDescent="0.25">
      <c r="A31" s="2">
        <v>45859</v>
      </c>
      <c r="B31" s="2">
        <v>45860</v>
      </c>
      <c r="C31" s="1" t="s">
        <v>182</v>
      </c>
      <c r="D31" s="1">
        <v>2</v>
      </c>
      <c r="E31" s="1">
        <v>1</v>
      </c>
      <c r="F31" s="1">
        <v>0.38500000000000001</v>
      </c>
      <c r="G31" s="14" t="s">
        <v>29</v>
      </c>
      <c r="H31" s="15" t="s">
        <v>15</v>
      </c>
      <c r="I31" s="1" t="s">
        <v>184</v>
      </c>
    </row>
    <row r="32" spans="1:10" ht="45" x14ac:dyDescent="0.25">
      <c r="A32" s="2">
        <v>45860</v>
      </c>
      <c r="B32" s="2">
        <v>45861</v>
      </c>
      <c r="C32" s="1" t="s">
        <v>185</v>
      </c>
      <c r="D32" s="1">
        <v>15</v>
      </c>
      <c r="E32" s="1">
        <v>3</v>
      </c>
      <c r="F32" s="1">
        <v>0.20499999999999999</v>
      </c>
      <c r="G32" s="15" t="s">
        <v>27</v>
      </c>
      <c r="H32" s="1" t="s">
        <v>186</v>
      </c>
      <c r="I32" s="1" t="s">
        <v>187</v>
      </c>
      <c r="J32" s="1" t="s">
        <v>203</v>
      </c>
    </row>
    <row r="33" spans="1:9" x14ac:dyDescent="0.25">
      <c r="A33" s="2">
        <v>45861</v>
      </c>
      <c r="B33" s="2">
        <v>45862</v>
      </c>
      <c r="C33" s="1" t="s">
        <v>188</v>
      </c>
      <c r="D33" s="1">
        <v>6.7</v>
      </c>
      <c r="E33" s="1">
        <v>1</v>
      </c>
      <c r="F33" s="1">
        <v>0.374</v>
      </c>
      <c r="G33" s="17" t="s">
        <v>28</v>
      </c>
      <c r="H33" s="18" t="s">
        <v>22</v>
      </c>
    </row>
    <row r="34" spans="1:9" x14ac:dyDescent="0.25">
      <c r="A34" s="2">
        <v>45862</v>
      </c>
      <c r="B34" s="2">
        <v>45874</v>
      </c>
      <c r="C34" s="30" t="s">
        <v>189</v>
      </c>
      <c r="D34" s="1">
        <v>6.7</v>
      </c>
      <c r="E34" s="1">
        <v>1</v>
      </c>
      <c r="F34" s="1">
        <v>0.112</v>
      </c>
      <c r="G34" s="19" t="s">
        <v>28</v>
      </c>
      <c r="H34" s="29" t="s">
        <v>41</v>
      </c>
      <c r="I34" s="1" t="s">
        <v>198</v>
      </c>
    </row>
    <row r="35" spans="1:9" x14ac:dyDescent="0.25">
      <c r="A35" s="2">
        <v>45863</v>
      </c>
      <c r="B35" s="2">
        <v>45863</v>
      </c>
      <c r="C35" s="1" t="s">
        <v>190</v>
      </c>
      <c r="D35" s="1">
        <v>15</v>
      </c>
      <c r="E35" s="1">
        <v>3</v>
      </c>
      <c r="F35" s="1">
        <v>0.21</v>
      </c>
      <c r="G35" s="20" t="s">
        <v>28</v>
      </c>
      <c r="H35" s="21" t="s">
        <v>16</v>
      </c>
      <c r="I35" s="1" t="s">
        <v>191</v>
      </c>
    </row>
    <row r="36" spans="1:9" x14ac:dyDescent="0.25">
      <c r="A36" s="2">
        <v>45863</v>
      </c>
      <c r="B36" s="2">
        <v>45869</v>
      </c>
      <c r="C36" s="1" t="s">
        <v>192</v>
      </c>
      <c r="D36" s="1">
        <v>7.5</v>
      </c>
      <c r="E36" s="1">
        <v>3</v>
      </c>
      <c r="F36" s="1">
        <v>0.12</v>
      </c>
      <c r="G36" s="22" t="s">
        <v>27</v>
      </c>
      <c r="H36" s="24" t="s">
        <v>15</v>
      </c>
      <c r="I36" s="1" t="s">
        <v>193</v>
      </c>
    </row>
    <row r="37" spans="1:9" x14ac:dyDescent="0.25">
      <c r="A37" s="2">
        <v>45869</v>
      </c>
      <c r="B37" s="2">
        <v>45869</v>
      </c>
      <c r="C37" s="1" t="s">
        <v>194</v>
      </c>
      <c r="D37" s="1">
        <v>3</v>
      </c>
      <c r="E37" s="1">
        <v>1</v>
      </c>
      <c r="F37" s="1">
        <v>9.9000000000000005E-2</v>
      </c>
      <c r="G37" s="25" t="s">
        <v>27</v>
      </c>
      <c r="H37" s="26" t="s">
        <v>15</v>
      </c>
      <c r="I37" s="1" t="s">
        <v>195</v>
      </c>
    </row>
    <row r="38" spans="1:9" x14ac:dyDescent="0.25">
      <c r="A38" s="2">
        <v>45873</v>
      </c>
      <c r="B38" s="2">
        <v>45873</v>
      </c>
      <c r="C38" s="1" t="s">
        <v>197</v>
      </c>
      <c r="D38" s="1">
        <v>1</v>
      </c>
      <c r="E38" s="1">
        <v>1</v>
      </c>
      <c r="F38" s="1">
        <v>0.186</v>
      </c>
      <c r="G38" s="27" t="s">
        <v>28</v>
      </c>
      <c r="H38" s="29" t="s">
        <v>15</v>
      </c>
      <c r="I38" s="1" t="s">
        <v>196</v>
      </c>
    </row>
    <row r="39" spans="1:9" ht="30" x14ac:dyDescent="0.25">
      <c r="A39" s="2">
        <v>45874</v>
      </c>
      <c r="B39" s="2">
        <v>45875</v>
      </c>
      <c r="C39" s="1" t="s">
        <v>199</v>
      </c>
      <c r="D39" s="1">
        <v>8</v>
      </c>
      <c r="E39" s="1">
        <v>3</v>
      </c>
      <c r="F39" s="1">
        <v>0.17699999999999999</v>
      </c>
      <c r="G39" s="29" t="s">
        <v>28</v>
      </c>
      <c r="H39" s="31" t="s">
        <v>200</v>
      </c>
      <c r="I39" s="1" t="s">
        <v>201</v>
      </c>
    </row>
    <row r="40" spans="1:9" x14ac:dyDescent="0.25">
      <c r="A40" s="2">
        <v>45875</v>
      </c>
      <c r="B40" s="2">
        <v>45876</v>
      </c>
      <c r="C40" s="1" t="s">
        <v>202</v>
      </c>
      <c r="D40" s="1">
        <v>6.7</v>
      </c>
      <c r="E40" s="1">
        <v>1</v>
      </c>
      <c r="F40" s="1">
        <v>0.17</v>
      </c>
      <c r="G40" s="31" t="s">
        <v>28</v>
      </c>
      <c r="H40" s="32" t="s">
        <v>15</v>
      </c>
      <c r="I40" s="1" t="s">
        <v>204</v>
      </c>
    </row>
    <row r="41" spans="1:9" x14ac:dyDescent="0.25">
      <c r="A41" s="2">
        <v>45876</v>
      </c>
      <c r="B41" s="2">
        <v>45881</v>
      </c>
      <c r="C41" s="1" t="s">
        <v>205</v>
      </c>
      <c r="D41" s="1">
        <v>15</v>
      </c>
      <c r="E41" s="1">
        <v>3</v>
      </c>
      <c r="F41" s="1">
        <v>0.14199999999999999</v>
      </c>
      <c r="G41" s="32" t="s">
        <v>29</v>
      </c>
      <c r="H41" s="33" t="s">
        <v>18</v>
      </c>
    </row>
    <row r="42" spans="1:9" ht="30" x14ac:dyDescent="0.25">
      <c r="A42" s="2">
        <v>45881</v>
      </c>
      <c r="B42" s="2">
        <v>45883</v>
      </c>
      <c r="C42" s="1" t="s">
        <v>206</v>
      </c>
      <c r="D42" s="1">
        <v>10</v>
      </c>
      <c r="E42" s="1">
        <v>3</v>
      </c>
      <c r="F42" s="1">
        <v>0.16500000000000001</v>
      </c>
      <c r="G42" s="34" t="s">
        <v>28</v>
      </c>
      <c r="H42" s="35" t="s">
        <v>15</v>
      </c>
      <c r="I42" s="1" t="s">
        <v>207</v>
      </c>
    </row>
    <row r="43" spans="1:9" ht="75" x14ac:dyDescent="0.25">
      <c r="A43" s="2">
        <v>45883</v>
      </c>
      <c r="B43" s="2">
        <v>45884</v>
      </c>
      <c r="C43" s="1" t="s">
        <v>208</v>
      </c>
      <c r="D43" s="1">
        <v>15</v>
      </c>
      <c r="E43" s="1">
        <v>3</v>
      </c>
      <c r="F43" s="1">
        <v>0.437</v>
      </c>
      <c r="G43" s="36" t="s">
        <v>28</v>
      </c>
      <c r="H43" s="37" t="s">
        <v>15</v>
      </c>
      <c r="I43" s="1" t="s">
        <v>213</v>
      </c>
    </row>
    <row r="44" spans="1:9" x14ac:dyDescent="0.25">
      <c r="A44" s="2">
        <v>45884</v>
      </c>
      <c r="C44" s="1" t="s">
        <v>214</v>
      </c>
      <c r="D44" s="1">
        <v>150</v>
      </c>
      <c r="E44" s="1">
        <v>3</v>
      </c>
      <c r="G44" s="1" t="s">
        <v>215</v>
      </c>
    </row>
    <row r="45" spans="1:9" x14ac:dyDescent="0.25">
      <c r="A45" s="2">
        <v>45887</v>
      </c>
      <c r="C45" s="1" t="s">
        <v>216</v>
      </c>
      <c r="D45" s="1">
        <v>10</v>
      </c>
      <c r="E45" s="1">
        <v>3</v>
      </c>
      <c r="G45" s="39" t="s">
        <v>28</v>
      </c>
    </row>
  </sheetData>
  <autoFilter ref="A1:J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K26" sqref="K26"/>
    </sheetView>
  </sheetViews>
  <sheetFormatPr defaultColWidth="11.7109375" defaultRowHeight="15" x14ac:dyDescent="0.25"/>
  <cols>
    <col min="1" max="1" width="26.140625" style="1" bestFit="1" customWidth="1"/>
    <col min="2" max="2" width="16" style="1" bestFit="1" customWidth="1"/>
    <col min="3" max="3" width="23.42578125" style="1" bestFit="1" customWidth="1"/>
    <col min="4" max="7" width="10.28515625" style="1" bestFit="1" customWidth="1"/>
    <col min="8" max="8" width="10.85546875" style="1" bestFit="1" customWidth="1"/>
    <col min="9" max="10" width="10.28515625" style="1" bestFit="1" customWidth="1"/>
    <col min="11" max="11" width="31.7109375" style="1" bestFit="1" customWidth="1"/>
    <col min="12" max="16384" width="11.7109375" style="1"/>
  </cols>
  <sheetData>
    <row r="1" spans="1:11" x14ac:dyDescent="0.25"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1" x14ac:dyDescent="0.25">
      <c r="A2" s="1" t="s">
        <v>68</v>
      </c>
      <c r="C2" s="1">
        <v>1</v>
      </c>
      <c r="D2" s="1">
        <v>1</v>
      </c>
      <c r="E2" s="1">
        <v>2</v>
      </c>
      <c r="F2" s="1">
        <v>2</v>
      </c>
      <c r="G2" s="1">
        <v>2</v>
      </c>
      <c r="H2" s="1">
        <v>1</v>
      </c>
      <c r="I2" s="1">
        <v>1</v>
      </c>
      <c r="J2" s="1">
        <v>2</v>
      </c>
    </row>
    <row r="3" spans="1:11" x14ac:dyDescent="0.25">
      <c r="A3" s="1" t="s">
        <v>69</v>
      </c>
      <c r="C3" s="1">
        <v>2.2000000000000002</v>
      </c>
      <c r="D3" s="1">
        <v>2.2000000000000002</v>
      </c>
      <c r="E3" s="1">
        <v>2.4</v>
      </c>
      <c r="F3" s="1">
        <v>2.4500000000000002</v>
      </c>
      <c r="G3" s="1">
        <v>2.4500000000000002</v>
      </c>
      <c r="H3" s="1">
        <v>2.2000000000000002</v>
      </c>
      <c r="I3" s="1">
        <v>3</v>
      </c>
      <c r="J3" s="1">
        <v>3</v>
      </c>
    </row>
    <row r="4" spans="1:11" x14ac:dyDescent="0.25">
      <c r="A4" s="1" t="s">
        <v>70</v>
      </c>
      <c r="C4" s="1">
        <v>7</v>
      </c>
      <c r="D4" s="1">
        <v>7</v>
      </c>
      <c r="E4" s="1">
        <v>6.85</v>
      </c>
      <c r="F4" s="1">
        <v>7</v>
      </c>
      <c r="G4" s="1">
        <v>6.8</v>
      </c>
      <c r="H4" s="1">
        <v>7</v>
      </c>
      <c r="I4" s="1">
        <v>7</v>
      </c>
      <c r="J4" s="1">
        <v>7</v>
      </c>
    </row>
    <row r="5" spans="1:11" x14ac:dyDescent="0.25"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71</v>
      </c>
      <c r="I5" s="1" t="s">
        <v>66</v>
      </c>
      <c r="J5" s="1" t="s">
        <v>67</v>
      </c>
    </row>
    <row r="6" spans="1:11" x14ac:dyDescent="0.25">
      <c r="A6" s="1" t="s">
        <v>72</v>
      </c>
      <c r="C6" s="1" t="s">
        <v>73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</row>
    <row r="7" spans="1:11" x14ac:dyDescent="0.25">
      <c r="A7" s="1" t="s">
        <v>80</v>
      </c>
      <c r="C7" s="1">
        <v>0.9</v>
      </c>
      <c r="D7" s="1">
        <v>0.9</v>
      </c>
      <c r="E7" s="1">
        <v>0.9</v>
      </c>
      <c r="F7" s="1">
        <v>0.9</v>
      </c>
      <c r="G7" s="1">
        <v>0.9</v>
      </c>
      <c r="H7" s="1">
        <v>1.125</v>
      </c>
      <c r="I7" s="1">
        <v>1.125</v>
      </c>
      <c r="J7" s="1">
        <v>1.125</v>
      </c>
    </row>
    <row r="8" spans="1:11" x14ac:dyDescent="0.25">
      <c r="A8" s="1" t="s">
        <v>81</v>
      </c>
      <c r="C8" s="1">
        <v>0.36</v>
      </c>
      <c r="D8" s="1">
        <v>0.36</v>
      </c>
      <c r="E8" s="1">
        <v>0.72</v>
      </c>
      <c r="F8" s="1">
        <v>0.72</v>
      </c>
      <c r="G8" s="1">
        <v>0.72</v>
      </c>
      <c r="H8" s="1">
        <v>0.45</v>
      </c>
      <c r="I8" s="1">
        <v>0.45</v>
      </c>
      <c r="J8" s="1">
        <v>0.9</v>
      </c>
    </row>
    <row r="9" spans="1:11" x14ac:dyDescent="0.25">
      <c r="A9" s="1" t="s">
        <v>82</v>
      </c>
      <c r="B9" s="1">
        <v>0.9</v>
      </c>
      <c r="C9" s="1">
        <v>1</v>
      </c>
      <c r="D9" s="1">
        <v>1</v>
      </c>
      <c r="E9" s="1">
        <v>1</v>
      </c>
      <c r="F9" s="1">
        <v>2</v>
      </c>
      <c r="G9" s="1">
        <v>2</v>
      </c>
      <c r="H9" s="1">
        <v>0</v>
      </c>
      <c r="I9" s="1">
        <v>0</v>
      </c>
      <c r="J9" s="1">
        <v>0</v>
      </c>
    </row>
    <row r="10" spans="1:11" x14ac:dyDescent="0.25">
      <c r="A10" s="1" t="s">
        <v>83</v>
      </c>
      <c r="B10" s="1">
        <v>1.125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2</v>
      </c>
    </row>
    <row r="11" spans="1:11" x14ac:dyDescent="0.25">
      <c r="A11" s="1" t="s">
        <v>84</v>
      </c>
      <c r="B11" s="1">
        <v>0.5</v>
      </c>
      <c r="C11" s="1">
        <v>0.3</v>
      </c>
      <c r="D11" s="1">
        <v>0.65</v>
      </c>
      <c r="E11" s="1">
        <v>0.3</v>
      </c>
      <c r="F11" s="1">
        <v>0.65</v>
      </c>
      <c r="G11" s="1">
        <v>1.5</v>
      </c>
      <c r="H11" s="1">
        <v>0.65</v>
      </c>
      <c r="I11" s="1">
        <v>0.5</v>
      </c>
      <c r="J11" s="1">
        <v>1</v>
      </c>
    </row>
    <row r="12" spans="1:11" x14ac:dyDescent="0.25">
      <c r="A12" s="1" t="s">
        <v>85</v>
      </c>
      <c r="B12" s="1">
        <v>6.8</v>
      </c>
      <c r="C12" s="1">
        <v>0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</row>
    <row r="13" spans="1:11" x14ac:dyDescent="0.25">
      <c r="A13" s="1" t="s">
        <v>86</v>
      </c>
      <c r="B13" s="1">
        <v>10.6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</row>
    <row r="14" spans="1:11" ht="45" x14ac:dyDescent="0.25">
      <c r="A14" s="1" t="s">
        <v>87</v>
      </c>
      <c r="B14" s="1">
        <v>7.8E-2</v>
      </c>
      <c r="C14" s="1">
        <v>2</v>
      </c>
      <c r="D14" s="1">
        <v>2</v>
      </c>
      <c r="E14" s="1">
        <v>2</v>
      </c>
      <c r="F14" s="1">
        <v>2</v>
      </c>
      <c r="G14" s="1">
        <v>4</v>
      </c>
      <c r="H14" s="1">
        <v>2</v>
      </c>
      <c r="I14" s="1">
        <v>2</v>
      </c>
      <c r="J14" s="1">
        <v>4</v>
      </c>
      <c r="K14" s="1" t="s">
        <v>107</v>
      </c>
    </row>
    <row r="15" spans="1:11" x14ac:dyDescent="0.25">
      <c r="A15" s="1" t="s">
        <v>88</v>
      </c>
      <c r="B15" s="1">
        <v>0.01</v>
      </c>
      <c r="C15" s="40" t="s">
        <v>89</v>
      </c>
      <c r="D15" s="40"/>
      <c r="E15" s="40"/>
      <c r="F15" s="40"/>
      <c r="G15" s="40"/>
      <c r="H15" s="40"/>
      <c r="I15" s="40"/>
      <c r="J15" s="40"/>
    </row>
    <row r="16" spans="1:11" x14ac:dyDescent="0.25">
      <c r="A16" s="1" t="s">
        <v>90</v>
      </c>
      <c r="B16" s="1">
        <v>0.65</v>
      </c>
      <c r="C16" s="1">
        <v>1</v>
      </c>
      <c r="D16" s="1">
        <v>0</v>
      </c>
      <c r="E16" s="1">
        <v>1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</row>
    <row r="17" spans="1:10" x14ac:dyDescent="0.25">
      <c r="A17" s="1" t="s">
        <v>91</v>
      </c>
      <c r="B17" s="1">
        <v>0.3</v>
      </c>
      <c r="C17" s="1">
        <v>0</v>
      </c>
      <c r="D17" s="1">
        <v>2</v>
      </c>
      <c r="E17" s="1">
        <v>0</v>
      </c>
      <c r="F17" s="1">
        <v>2</v>
      </c>
      <c r="G17" s="1">
        <v>1</v>
      </c>
      <c r="H17" s="1">
        <v>2</v>
      </c>
      <c r="I17" s="1">
        <v>2</v>
      </c>
      <c r="J17" s="1">
        <v>2</v>
      </c>
    </row>
    <row r="18" spans="1:10" x14ac:dyDescent="0.25">
      <c r="A18" s="1" t="s">
        <v>92</v>
      </c>
      <c r="B18" s="1">
        <v>0.46</v>
      </c>
      <c r="C18" s="40" t="s">
        <v>93</v>
      </c>
      <c r="D18" s="40"/>
      <c r="E18" s="40"/>
      <c r="F18" s="40"/>
      <c r="G18" s="40"/>
      <c r="H18" s="40"/>
      <c r="I18" s="40"/>
      <c r="J18" s="40"/>
    </row>
    <row r="19" spans="1:10" x14ac:dyDescent="0.25">
      <c r="A19" s="1" t="s">
        <v>94</v>
      </c>
      <c r="B19" s="1">
        <v>0.46</v>
      </c>
      <c r="C19" s="40" t="s">
        <v>95</v>
      </c>
      <c r="D19" s="40"/>
      <c r="E19" s="40"/>
      <c r="F19" s="40"/>
      <c r="G19" s="40"/>
      <c r="H19" s="40"/>
      <c r="I19" s="40"/>
      <c r="J19" s="40"/>
    </row>
    <row r="20" spans="1:10" x14ac:dyDescent="0.25">
      <c r="A20" s="1" t="s">
        <v>96</v>
      </c>
      <c r="B20" s="1">
        <v>0.14399999999999999</v>
      </c>
      <c r="C20" s="40" t="s">
        <v>97</v>
      </c>
      <c r="D20" s="40"/>
      <c r="E20" s="40"/>
      <c r="F20" s="40"/>
      <c r="G20" s="40"/>
      <c r="H20" s="40"/>
      <c r="I20" s="40"/>
      <c r="J20" s="40"/>
    </row>
    <row r="21" spans="1:10" x14ac:dyDescent="0.25">
      <c r="A21" s="1" t="s">
        <v>98</v>
      </c>
      <c r="B21" s="1">
        <v>0.125</v>
      </c>
      <c r="C21" s="40" t="s">
        <v>99</v>
      </c>
      <c r="D21" s="40"/>
      <c r="E21" s="40"/>
      <c r="F21" s="40"/>
      <c r="G21" s="40"/>
      <c r="H21" s="40"/>
      <c r="I21" s="40"/>
      <c r="J21" s="40"/>
    </row>
    <row r="22" spans="1:10" x14ac:dyDescent="0.25">
      <c r="A22" s="1" t="s">
        <v>100</v>
      </c>
      <c r="B22" s="1">
        <v>0.26</v>
      </c>
      <c r="C22" s="40" t="s">
        <v>101</v>
      </c>
      <c r="D22" s="40"/>
      <c r="E22" s="40"/>
      <c r="F22" s="40"/>
      <c r="G22" s="40"/>
      <c r="H22" s="40"/>
      <c r="I22" s="40"/>
      <c r="J22" s="40"/>
    </row>
    <row r="23" spans="1:10" x14ac:dyDescent="0.25">
      <c r="A23" s="1" t="s">
        <v>102</v>
      </c>
      <c r="B23" s="1">
        <v>0.2</v>
      </c>
      <c r="C23" s="1">
        <v>1</v>
      </c>
      <c r="D23" s="1">
        <v>2</v>
      </c>
      <c r="E23" s="1">
        <v>1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</row>
    <row r="24" spans="1:10" x14ac:dyDescent="0.25">
      <c r="A24" s="1" t="s">
        <v>103</v>
      </c>
      <c r="B24" s="1">
        <v>1.4999999999999999E-2</v>
      </c>
      <c r="C24" s="40" t="s">
        <v>104</v>
      </c>
      <c r="D24" s="40"/>
      <c r="E24" s="40"/>
      <c r="F24" s="40"/>
      <c r="G24" s="40"/>
      <c r="H24" s="40"/>
      <c r="I24" s="40"/>
      <c r="J24" s="40"/>
    </row>
    <row r="25" spans="1:10" s="38" customFormat="1" x14ac:dyDescent="0.25">
      <c r="A25" s="38" t="s">
        <v>209</v>
      </c>
    </row>
    <row r="26" spans="1:10" s="38" customFormat="1" x14ac:dyDescent="0.25">
      <c r="A26" s="38" t="s">
        <v>210</v>
      </c>
    </row>
    <row r="27" spans="1:10" s="38" customFormat="1" x14ac:dyDescent="0.25">
      <c r="A27" s="38" t="s">
        <v>211</v>
      </c>
    </row>
    <row r="28" spans="1:10" s="38" customFormat="1" x14ac:dyDescent="0.25">
      <c r="A28" s="38" t="s">
        <v>212</v>
      </c>
    </row>
    <row r="29" spans="1:10" ht="45" x14ac:dyDescent="0.25">
      <c r="A29" s="1" t="s">
        <v>105</v>
      </c>
      <c r="C29" s="1">
        <v>0</v>
      </c>
      <c r="D29" s="1">
        <v>0</v>
      </c>
      <c r="E29" s="1">
        <v>30</v>
      </c>
      <c r="F29" s="1">
        <v>0</v>
      </c>
      <c r="G29" s="1" t="s">
        <v>106</v>
      </c>
      <c r="H29" s="1">
        <v>0</v>
      </c>
      <c r="I29" s="1">
        <v>45</v>
      </c>
      <c r="J29" s="1">
        <v>90</v>
      </c>
    </row>
  </sheetData>
  <mergeCells count="7">
    <mergeCell ref="C24:J24"/>
    <mergeCell ref="C15:J15"/>
    <mergeCell ref="C18:J18"/>
    <mergeCell ref="C19:J19"/>
    <mergeCell ref="C20:J20"/>
    <mergeCell ref="C21:J21"/>
    <mergeCell ref="C2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E15" sqref="E15:G17"/>
    </sheetView>
  </sheetViews>
  <sheetFormatPr defaultColWidth="2.7109375" defaultRowHeight="15" x14ac:dyDescent="0.25"/>
  <cols>
    <col min="1" max="1" width="8.7109375" style="5" bestFit="1" customWidth="1"/>
    <col min="2" max="2" width="12" style="5" bestFit="1" customWidth="1"/>
    <col min="3" max="3" width="15" style="5" bestFit="1" customWidth="1"/>
    <col min="4" max="4" width="19.28515625" style="5" bestFit="1" customWidth="1"/>
    <col min="5" max="5" width="15" style="5" bestFit="1" customWidth="1"/>
    <col min="6" max="6" width="16.140625" style="5" bestFit="1" customWidth="1"/>
    <col min="7" max="7" width="13.140625" style="5" bestFit="1" customWidth="1"/>
    <col min="8" max="8" width="3.28515625" style="5" bestFit="1" customWidth="1"/>
    <col min="9" max="9" width="14.5703125" style="5" bestFit="1" customWidth="1"/>
    <col min="10" max="10" width="27.5703125" style="5" bestFit="1" customWidth="1"/>
    <col min="11" max="16384" width="2.7109375" style="5"/>
  </cols>
  <sheetData>
    <row r="1" spans="1:10" x14ac:dyDescent="0.25">
      <c r="A1" s="41" t="s">
        <v>108</v>
      </c>
      <c r="B1" s="41"/>
      <c r="C1" s="41"/>
      <c r="D1" s="41"/>
      <c r="E1" s="41"/>
      <c r="J1" s="5" t="s">
        <v>109</v>
      </c>
    </row>
    <row r="2" spans="1:10" x14ac:dyDescent="0.25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  <c r="I2" s="5" t="s">
        <v>115</v>
      </c>
      <c r="J2" s="7" t="str">
        <f>"=длина построеной линии*4"</f>
        <v>=длина построеной линии*4</v>
      </c>
    </row>
    <row r="3" spans="1:10" x14ac:dyDescent="0.25">
      <c r="A3" s="3" t="s">
        <v>116</v>
      </c>
      <c r="B3" s="3">
        <v>10</v>
      </c>
      <c r="C3" s="3" t="s">
        <v>116</v>
      </c>
      <c r="D3" s="3">
        <v>400</v>
      </c>
      <c r="E3" s="3">
        <v>25</v>
      </c>
      <c r="I3" s="5" t="s">
        <v>117</v>
      </c>
      <c r="J3" s="7" t="str">
        <f>"=длина опиловки*5/10000"</f>
        <v>=длина опиловки*5/10000</v>
      </c>
    </row>
    <row r="4" spans="1:10" x14ac:dyDescent="0.25">
      <c r="A4" s="3" t="s">
        <v>118</v>
      </c>
      <c r="B4" s="3">
        <v>15</v>
      </c>
      <c r="C4" s="3" t="s">
        <v>118</v>
      </c>
      <c r="D4" s="3">
        <v>500</v>
      </c>
      <c r="E4" s="3">
        <v>29</v>
      </c>
    </row>
    <row r="5" spans="1:10" x14ac:dyDescent="0.25">
      <c r="A5" s="3" t="s">
        <v>119</v>
      </c>
      <c r="B5" s="3">
        <v>20</v>
      </c>
      <c r="C5" s="3" t="s">
        <v>119</v>
      </c>
      <c r="D5" s="3">
        <v>650</v>
      </c>
      <c r="E5" s="3">
        <v>32</v>
      </c>
    </row>
    <row r="6" spans="1:10" x14ac:dyDescent="0.25">
      <c r="A6" s="3" t="s">
        <v>120</v>
      </c>
      <c r="B6" s="3">
        <v>25</v>
      </c>
      <c r="C6" s="3" t="s">
        <v>120</v>
      </c>
      <c r="D6" s="3">
        <v>800</v>
      </c>
      <c r="E6" s="3">
        <v>36</v>
      </c>
    </row>
    <row r="7" spans="1:10" x14ac:dyDescent="0.25">
      <c r="A7" s="3" t="s">
        <v>121</v>
      </c>
      <c r="B7" s="3">
        <v>30</v>
      </c>
    </row>
    <row r="8" spans="1:10" x14ac:dyDescent="0.25">
      <c r="D8" s="8"/>
      <c r="E8" s="8"/>
    </row>
    <row r="9" spans="1:10" x14ac:dyDescent="0.25">
      <c r="A9" s="41" t="s">
        <v>122</v>
      </c>
      <c r="B9" s="41"/>
      <c r="C9" s="41"/>
      <c r="D9" s="41"/>
      <c r="E9" s="41"/>
      <c r="F9" s="41"/>
      <c r="G9" s="41"/>
      <c r="H9" s="41"/>
    </row>
    <row r="10" spans="1:10" x14ac:dyDescent="0.25">
      <c r="A10" s="3" t="s">
        <v>123</v>
      </c>
      <c r="B10" s="3" t="s">
        <v>124</v>
      </c>
      <c r="C10" s="3" t="s">
        <v>125</v>
      </c>
      <c r="D10" s="3" t="s">
        <v>126</v>
      </c>
      <c r="E10" s="3" t="s">
        <v>123</v>
      </c>
      <c r="F10" s="3" t="s">
        <v>124</v>
      </c>
      <c r="G10" s="3" t="s">
        <v>125</v>
      </c>
      <c r="H10" s="3" t="s">
        <v>126</v>
      </c>
    </row>
    <row r="11" spans="1:10" x14ac:dyDescent="0.25">
      <c r="A11" s="3">
        <v>1</v>
      </c>
      <c r="B11" s="3">
        <v>1</v>
      </c>
      <c r="C11" s="3" t="s">
        <v>127</v>
      </c>
      <c r="E11" s="28">
        <v>3</v>
      </c>
      <c r="F11" s="28">
        <v>3</v>
      </c>
      <c r="G11" s="28" t="s">
        <v>127</v>
      </c>
    </row>
    <row r="12" spans="1:10" x14ac:dyDescent="0.25">
      <c r="A12" s="16">
        <v>2</v>
      </c>
      <c r="B12" s="16">
        <v>1</v>
      </c>
      <c r="C12" s="16" t="s">
        <v>183</v>
      </c>
      <c r="E12" s="3">
        <v>5</v>
      </c>
      <c r="F12" s="3">
        <v>3</v>
      </c>
      <c r="G12" s="3" t="s">
        <v>128</v>
      </c>
    </row>
    <row r="13" spans="1:10" x14ac:dyDescent="0.25">
      <c r="A13" s="3">
        <v>3</v>
      </c>
      <c r="B13" s="3">
        <v>1</v>
      </c>
      <c r="C13" s="3" t="s">
        <v>129</v>
      </c>
      <c r="E13" s="3">
        <v>7</v>
      </c>
      <c r="F13" s="3">
        <v>3</v>
      </c>
      <c r="G13" s="3" t="s">
        <v>129</v>
      </c>
    </row>
    <row r="14" spans="1:10" x14ac:dyDescent="0.25">
      <c r="A14" s="3">
        <v>5</v>
      </c>
      <c r="B14" s="3">
        <v>1</v>
      </c>
      <c r="C14" s="3" t="s">
        <v>130</v>
      </c>
      <c r="E14" s="23">
        <v>7.5</v>
      </c>
      <c r="F14" s="23">
        <v>3</v>
      </c>
      <c r="G14" s="23" t="s">
        <v>129</v>
      </c>
    </row>
    <row r="15" spans="1:10" x14ac:dyDescent="0.25">
      <c r="A15" s="3">
        <v>6</v>
      </c>
      <c r="B15" s="3">
        <v>1</v>
      </c>
      <c r="C15" s="3" t="s">
        <v>131</v>
      </c>
      <c r="E15" s="3">
        <v>8</v>
      </c>
      <c r="F15" s="3">
        <v>3</v>
      </c>
      <c r="G15" s="3" t="s">
        <v>129</v>
      </c>
    </row>
    <row r="16" spans="1:10" x14ac:dyDescent="0.25">
      <c r="A16" s="3">
        <v>6.7</v>
      </c>
      <c r="B16" s="3">
        <v>1</v>
      </c>
      <c r="C16" s="3" t="s">
        <v>131</v>
      </c>
      <c r="D16" s="3" t="s">
        <v>132</v>
      </c>
      <c r="E16" s="3">
        <v>9</v>
      </c>
      <c r="F16" s="3">
        <v>3</v>
      </c>
      <c r="G16" s="3" t="s">
        <v>129</v>
      </c>
    </row>
    <row r="17" spans="1:7" x14ac:dyDescent="0.25">
      <c r="A17" s="3">
        <v>8</v>
      </c>
      <c r="B17" s="3">
        <v>1</v>
      </c>
      <c r="C17" s="3" t="s">
        <v>132</v>
      </c>
      <c r="E17" s="3">
        <v>10</v>
      </c>
      <c r="F17" s="3">
        <v>3</v>
      </c>
      <c r="G17" s="3" t="s">
        <v>129</v>
      </c>
    </row>
    <row r="18" spans="1:7" x14ac:dyDescent="0.25">
      <c r="E18" s="3">
        <v>12.5</v>
      </c>
      <c r="F18" s="3">
        <v>3</v>
      </c>
      <c r="G18" s="3" t="s">
        <v>130</v>
      </c>
    </row>
    <row r="19" spans="1:7" x14ac:dyDescent="0.25">
      <c r="E19" s="3">
        <v>15</v>
      </c>
      <c r="F19" s="3">
        <v>3</v>
      </c>
      <c r="G19" s="3" t="s">
        <v>131</v>
      </c>
    </row>
    <row r="20" spans="1:7" x14ac:dyDescent="0.25">
      <c r="E20" s="3">
        <v>20</v>
      </c>
      <c r="F20" s="3">
        <v>3</v>
      </c>
      <c r="G20" s="3" t="s">
        <v>132</v>
      </c>
    </row>
    <row r="21" spans="1:7" x14ac:dyDescent="0.25">
      <c r="E21" s="3">
        <v>30</v>
      </c>
      <c r="F21" s="3">
        <v>3</v>
      </c>
      <c r="G21" s="3" t="s">
        <v>133</v>
      </c>
    </row>
    <row r="23" spans="1:7" x14ac:dyDescent="0.25">
      <c r="A23" s="41" t="s">
        <v>134</v>
      </c>
      <c r="B23" s="41"/>
      <c r="C23" s="41"/>
      <c r="D23" s="41"/>
      <c r="E23" s="41"/>
      <c r="F23" s="41"/>
      <c r="G23" s="41"/>
    </row>
    <row r="24" spans="1:7" x14ac:dyDescent="0.25">
      <c r="A24" s="3" t="s">
        <v>135</v>
      </c>
      <c r="B24" s="3" t="s">
        <v>136</v>
      </c>
      <c r="C24" s="3" t="s">
        <v>137</v>
      </c>
      <c r="D24" s="3" t="s">
        <v>135</v>
      </c>
      <c r="E24" s="3" t="s">
        <v>136</v>
      </c>
      <c r="F24" s="3" t="s">
        <v>138</v>
      </c>
      <c r="G24" s="3" t="s">
        <v>139</v>
      </c>
    </row>
    <row r="25" spans="1:7" x14ac:dyDescent="0.25">
      <c r="A25" s="3" t="s">
        <v>140</v>
      </c>
      <c r="B25" s="3" t="s">
        <v>141</v>
      </c>
      <c r="C25" s="3">
        <v>1480</v>
      </c>
      <c r="D25" s="4" t="s">
        <v>142</v>
      </c>
      <c r="E25" s="4" t="s">
        <v>143</v>
      </c>
      <c r="F25" s="3" t="s">
        <v>144</v>
      </c>
      <c r="G25" s="3"/>
    </row>
    <row r="26" spans="1:7" x14ac:dyDescent="0.25">
      <c r="A26" s="3" t="s">
        <v>140</v>
      </c>
      <c r="B26" s="3" t="s">
        <v>145</v>
      </c>
      <c r="C26" s="3">
        <v>1112</v>
      </c>
      <c r="D26" s="4" t="s">
        <v>142</v>
      </c>
      <c r="E26" s="4" t="s">
        <v>146</v>
      </c>
      <c r="F26" s="3" t="s">
        <v>147</v>
      </c>
      <c r="G26" s="3"/>
    </row>
    <row r="27" spans="1:7" x14ac:dyDescent="0.25">
      <c r="A27" s="3" t="s">
        <v>140</v>
      </c>
      <c r="B27" s="3" t="s">
        <v>148</v>
      </c>
      <c r="C27" s="3">
        <v>775</v>
      </c>
      <c r="D27" s="4" t="s">
        <v>142</v>
      </c>
      <c r="E27" s="4" t="s">
        <v>149</v>
      </c>
      <c r="F27" s="3" t="s">
        <v>150</v>
      </c>
      <c r="G27" s="3"/>
    </row>
    <row r="28" spans="1:7" x14ac:dyDescent="0.25">
      <c r="A28" s="3" t="s">
        <v>140</v>
      </c>
      <c r="B28" s="3" t="s">
        <v>151</v>
      </c>
      <c r="C28" s="3">
        <v>566</v>
      </c>
      <c r="D28" s="4" t="s">
        <v>142</v>
      </c>
      <c r="E28" s="4" t="s">
        <v>152</v>
      </c>
      <c r="F28" s="3" t="s">
        <v>153</v>
      </c>
      <c r="G28" s="3"/>
    </row>
    <row r="29" spans="1:7" x14ac:dyDescent="0.25">
      <c r="A29" s="3" t="s">
        <v>140</v>
      </c>
      <c r="B29" s="3" t="s">
        <v>154</v>
      </c>
      <c r="C29" s="3">
        <v>424</v>
      </c>
      <c r="D29" s="4" t="s">
        <v>142</v>
      </c>
      <c r="E29" s="4" t="s">
        <v>155</v>
      </c>
      <c r="F29" s="3" t="s">
        <v>156</v>
      </c>
      <c r="G29" s="3"/>
    </row>
    <row r="30" spans="1:7" x14ac:dyDescent="0.25">
      <c r="A30" s="3" t="s">
        <v>157</v>
      </c>
      <c r="B30" s="3" t="s">
        <v>158</v>
      </c>
      <c r="C30" s="3">
        <v>421</v>
      </c>
      <c r="D30" s="4" t="s">
        <v>142</v>
      </c>
      <c r="E30" s="4" t="s">
        <v>159</v>
      </c>
      <c r="F30" s="3" t="s">
        <v>160</v>
      </c>
      <c r="G30" s="3"/>
    </row>
    <row r="31" spans="1:7" x14ac:dyDescent="0.25">
      <c r="A31" s="3" t="s">
        <v>157</v>
      </c>
      <c r="B31" s="3" t="s">
        <v>161</v>
      </c>
      <c r="C31" s="3">
        <v>334</v>
      </c>
      <c r="D31" s="4" t="s">
        <v>142</v>
      </c>
      <c r="E31" s="4" t="s">
        <v>162</v>
      </c>
      <c r="F31" s="3" t="s">
        <v>163</v>
      </c>
      <c r="G31" s="3">
        <v>32.4</v>
      </c>
    </row>
    <row r="32" spans="1:7" x14ac:dyDescent="0.25">
      <c r="A32" s="3" t="s">
        <v>164</v>
      </c>
      <c r="B32" s="3" t="s">
        <v>165</v>
      </c>
      <c r="C32" s="3">
        <v>269</v>
      </c>
      <c r="D32" s="4" t="s">
        <v>142</v>
      </c>
      <c r="E32" s="4" t="s">
        <v>166</v>
      </c>
      <c r="F32" s="3" t="s">
        <v>167</v>
      </c>
      <c r="G32" s="3"/>
    </row>
    <row r="33" spans="1:7" x14ac:dyDescent="0.25">
      <c r="A33" s="3" t="s">
        <v>164</v>
      </c>
      <c r="B33" s="3" t="s">
        <v>168</v>
      </c>
      <c r="C33" s="3">
        <v>190</v>
      </c>
      <c r="D33" s="4" t="s">
        <v>142</v>
      </c>
      <c r="E33" s="4" t="s">
        <v>169</v>
      </c>
      <c r="F33" s="3" t="s">
        <v>170</v>
      </c>
      <c r="G33" s="3"/>
    </row>
    <row r="34" spans="1:7" x14ac:dyDescent="0.25">
      <c r="A34" s="3" t="s">
        <v>164</v>
      </c>
      <c r="B34" s="3" t="s">
        <v>171</v>
      </c>
      <c r="C34" s="3">
        <v>134</v>
      </c>
      <c r="D34" s="4" t="s">
        <v>142</v>
      </c>
      <c r="E34" s="4" t="s">
        <v>165</v>
      </c>
      <c r="F34" s="3" t="s">
        <v>172</v>
      </c>
      <c r="G34" s="3"/>
    </row>
    <row r="35" spans="1:7" x14ac:dyDescent="0.25">
      <c r="A35" s="8"/>
      <c r="B35" s="8"/>
      <c r="C35" s="8"/>
      <c r="D35" s="4" t="s">
        <v>142</v>
      </c>
      <c r="E35" s="4" t="s">
        <v>173</v>
      </c>
      <c r="F35" s="3" t="s">
        <v>174</v>
      </c>
      <c r="G35" s="3"/>
    </row>
  </sheetData>
  <mergeCells count="3">
    <mergeCell ref="A1:E1"/>
    <mergeCell ref="A9:H9"/>
    <mergeCell ref="A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по проектам</vt:lpstr>
      <vt:lpstr>Линейная арматура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2025-08-18T13:55:20Z</dcterms:modified>
</cp:coreProperties>
</file>